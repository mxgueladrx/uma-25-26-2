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5"/>
    <sheet state="visible" name="Hoja2" sheetId="2" r:id="rId6"/>
  </sheets>
  <definedNames/>
  <calcPr/>
</workbook>
</file>

<file path=xl/sharedStrings.xml><?xml version="1.0" encoding="utf-8"?>
<sst xmlns="http://schemas.openxmlformats.org/spreadsheetml/2006/main" count="151" uniqueCount="110">
  <si>
    <t>Nombre del Grupo:</t>
  </si>
  <si>
    <t>Grupo 7</t>
  </si>
  <si>
    <t>Integrantes  que han colaborado en el trabajo en orden alfabético de apellidos:</t>
  </si>
  <si>
    <t xml:space="preserve">        Bustos Hermoso, Pablo; García Trujillo, Daniel; Gheorghe, Miguel Adrián; Martín Cortés, Francisco Javier</t>
  </si>
  <si>
    <t>Grupo</t>
  </si>
  <si>
    <t>Elementos</t>
  </si>
  <si>
    <t>Realizado (SI/NO)</t>
  </si>
  <si>
    <t>Evidencias: Dónde debe mirar el profesor para comprobar que se ha hecho</t>
  </si>
  <si>
    <t>Nota:</t>
  </si>
  <si>
    <t>¿Se han creado los siguientes objetos?</t>
  </si>
  <si>
    <t>¿Se ha creado un esquema distinto para el trabajo?</t>
  </si>
  <si>
    <t>Se ha creado el tablespace independiente TS_PAU y TS_INDICES para el trabajo?</t>
  </si>
  <si>
    <t>SI</t>
  </si>
  <si>
    <t>Líneas 12-13: Sentencias CREATE TABLESPACE con almacenamiento dedicado</t>
  </si>
  <si>
    <t>Se han creado índices en la base de datos? De qué tipo? Porqué? Cuales?</t>
  </si>
  <si>
    <t>Líneas 451-475: IDX_EST_APELLIDOS_UPPER (índice basado en función. Optimiza búsquedas por apellido ignorando las mayúsculas para no tener que leer toda la tabla), IDX_EST_TELEFONO y IDX_EST_CORREO (árbol B. Como son columnas muy variables, es útil para este tipo de búsquedas), IDX_EST_CENTRO_BMP (bitmap. Columna con baja cardinalidad por lo que ahorra espacio y acelera las consultas)</t>
  </si>
  <si>
    <t>¿Se han importado los datos a la tablas Estudiantes, Vocales, Materias, Sedes y Centros tal y como se especificaba en la práctica de nivel físico?</t>
  </si>
  <si>
    <t>Líneas 164-254</t>
  </si>
  <si>
    <t>Seguridad</t>
  </si>
  <si>
    <t>Se han creado  roles adecuadamente</t>
  </si>
  <si>
    <t>Líneas 1068-1070: Roles de R_ESTUDIANTE, R_VOCAL y R_SERVICIO_ACCESO</t>
  </si>
  <si>
    <t>Se han asignado usuarios a los roles adecuadamente</t>
  </si>
  <si>
    <t>Líneas 1268-1367: Declaración de roles mediante los procedimientos PR_CREA_ESTUDIANTE y PR_CREA_VOCAL</t>
  </si>
  <si>
    <t>Se han asignado los permisos de forma restrictiva a todos los usuarios. Ejemplos:</t>
  </si>
  <si>
    <t>Líneas 1073-1266: Por ejemplo dar permiso de DML a los R_VOCAL en sus vistas disponibles</t>
  </si>
  <si>
    <t>Operaciones a realizar por los usuarios</t>
  </si>
  <si>
    <t>Líneas 1073-1266: Se han definido y otorgado privilegios de operación (GRANT SELECT, INSERT, UPDATE, DELETE) de cada rol (R_ESTUDIANTE, R_VOCAL, R_SERVICIO_ACCESO) sobre sus respectivas vistas e interfaces</t>
  </si>
  <si>
    <t>Alguna política de gestión de contraseñas</t>
  </si>
  <si>
    <t>Líneas 1294-1298: Función GENERAR_PASSWORD_ALEATORIA que genera claves de 12 caracteres robustos con DBMS_RANDOM.STRING('X', 12).</t>
  </si>
  <si>
    <t>¿Se ha comprobado que no sea posible sql injection?</t>
  </si>
  <si>
    <t>Líneas 1316 y 1352: Uso de DBMS_ASSERT.ENQUOTE_NAME que comprueba que la cadena sea simple y valida y no sea algo malicioso
Además, envuelve la cadena en comillas dobles y duplica las comillas internas tratando toda la entrada como una cadena simple.</t>
  </si>
  <si>
    <t>Vistas</t>
  </si>
  <si>
    <t>V_ESTUDIANTES</t>
  </si>
  <si>
    <t>Líneas 261-266</t>
  </si>
  <si>
    <t>VM_ESTUDIANTES</t>
  </si>
  <si>
    <t>Líneas 483-488</t>
  </si>
  <si>
    <t>Estudiante: Consulta su asignación en aulas para la realización de exámenes. Podrá consultar sus datos</t>
  </si>
  <si>
    <t>Líneas 1118-1144: Roles y privilegios asignados a R_ESTUDIANTE a las vistas V_ESTUDIANTE_EXAMENES y V_ESTUDIANTE_DATOS</t>
  </si>
  <si>
    <t>Responsable de sede: Puede gestionar (insertar modificar y borrar) todos los datos de SU sede (aulas, asignaciones, asistencias, etc.). También puede gestionar la asignación de vigilantes a aulas.</t>
  </si>
  <si>
    <t>Líneas 1148-1189: Roles y privilegios asignados a R_VOCAL solo si es responsable de sede (DNI_RESPONSABLE) a las vistas V_RESPONSABLE_SEDE, V_RESPONSABLE_SEDE_VIGILA, V_RESPONSABLE_SEDE_ASISTENCIA, V_RESPONSABLE_SEDE_AULAS, V_RESPONSABLE_SEDE_EXAMENES</t>
  </si>
  <si>
    <t>Responsable de aula: Puede consultar su asignación en la vigilancia de aulas. Puede introducir el número de estudiantes realizando examen una vez estén estos en el aula. Es posible que debas añadir este campo a la tabla examen.</t>
  </si>
  <si>
    <t>Líneas 1193-1210: Roles y privilegios asignados a R_VOCAL solo si es responsable de aula (DNI_RESPONSABLE) a la vista V_RESPONSABLE_AULA</t>
  </si>
  <si>
    <t>Vigilante de aula: Puede consultar su asignación en la vigilancia de aulas</t>
  </si>
  <si>
    <t>Líneas 1214-1234: Roles y privilegios asignados a R_VOCAL solo si es vigilante de aula (DNI_VOCAL) a la vista V_VIGILANTE_EXAMENES</t>
  </si>
  <si>
    <t>Personal del Servicio de Acceso del Vicerrectorado de Estudiantes y Deportes: Gestiona los responsables de sede. Puede consultar la asignación de estudiantes a sedes y aulas de todos los centros. Puede consultar el número de alumnos que han realizado exámenes por aula. Para ello la tabla examen podrá almacenar este dato o bien ser calculado</t>
  </si>
  <si>
    <t>Líneas 1238-1266: Roles y privilegios asignados a R_SERVICIO_ACCESO a las vistas V_ACCESO_ASIGNACION_GLOBAL, V_ACCESO_CONTEO_POR_AULA</t>
  </si>
  <si>
    <t>V_OCUPACION_ASIGNADA</t>
  </si>
  <si>
    <t>Líneas 763-773</t>
  </si>
  <si>
    <t>V_OCUPACION</t>
  </si>
  <si>
    <t>Líneas 789-799</t>
  </si>
  <si>
    <t>V_VIGILANTES</t>
  </si>
  <si>
    <t>Líneas 815-825</t>
  </si>
  <si>
    <t xml:space="preserve">Paquetes PL/SQL </t>
  </si>
  <si>
    <t>PK_ASIGNA</t>
  </si>
  <si>
    <t>Líneas 614-695</t>
  </si>
  <si>
    <t>PK_OCUPACION</t>
  </si>
  <si>
    <t>Líneas 841-1018</t>
  </si>
  <si>
    <t>Procedimientos</t>
  </si>
  <si>
    <t>PR_INSERTA_MATERIAS</t>
  </si>
  <si>
    <t>Líneas 273-303</t>
  </si>
  <si>
    <t>PR_RELLENA_AULAS</t>
  </si>
  <si>
    <t>Líneas 348-362</t>
  </si>
  <si>
    <t>PR_BORRA_AULA</t>
  </si>
  <si>
    <t>Líneas 379-383</t>
  </si>
  <si>
    <t>PR_BORRA_AULAS</t>
  </si>
  <si>
    <t>Líneas 386-394</t>
  </si>
  <si>
    <t>PR_CREA_ESTUDIANTE</t>
  </si>
  <si>
    <t>Líneas 1301-1335</t>
  </si>
  <si>
    <t>PR_CREA_VOCAL</t>
  </si>
  <si>
    <t>Líneas 1338-1374</t>
  </si>
  <si>
    <t>Triggers</t>
  </si>
  <si>
    <t>TR_BORRA_AULA</t>
  </si>
  <si>
    <t>Líneas 1426-14060</t>
  </si>
  <si>
    <t>Transacciones</t>
  </si>
  <si>
    <t>Se han confirmado/deshecho las transacciones correctamente?</t>
  </si>
  <si>
    <t>Confirmación mediante COMMIT tras cargas masivas (en PR_ASIGNA_SEDE, Líneas 638-692) y de ROLLBACK ante excepciones operativas (en DESPISTE, Líneas 1495-1582)</t>
  </si>
  <si>
    <t>Excepciones</t>
  </si>
  <si>
    <t>Se han controlado excepciones</t>
  </si>
  <si>
    <t>Si, ejemplos como en procedures DESPISTE, Líneas 1577-1580, 1562-1565; o el trigger TR_BORRA_AULA, Línea 1440</t>
  </si>
  <si>
    <t>¿Se han probado todas las funcionalidades insertando datos coherentes?</t>
  </si>
  <si>
    <t>Si, debajo de cada funcionalidad implementada hay generado un test para comprobar que funciona correctamente</t>
  </si>
  <si>
    <t>Si has contestado NO a alguna de las pregunas anteriores, el trabajo se considera no superado</t>
  </si>
  <si>
    <t>Si has contestado SI a todas las pregunas anteriores, y el trabajo está correcto, la nota del trabajo en grupo será 1,5 sobre 3</t>
  </si>
  <si>
    <t>Para subir la nota se deben realizar las siguientes opciones:</t>
  </si>
  <si>
    <t>Prodecidiemtos</t>
  </si>
  <si>
    <t>DESPISTE</t>
  </si>
  <si>
    <t>Líneas 1495-1582</t>
  </si>
  <si>
    <t>MIGRAR_CENTRO</t>
  </si>
  <si>
    <t>Líneas 1606-1658</t>
  </si>
  <si>
    <t>¿Es el diseño (modelo E/R) de la base de datos correcto?</t>
  </si>
  <si>
    <t>¿Se comprueban restricciones semánticas? El rango debe estar dentro de ..., números no negativos en ciertos campos, comparación de fechas, etc.</t>
  </si>
  <si>
    <t>Si, en la tabla ANE por ejemplo se comprueba que DESCABEZAR y AULA_APARTE sean o "S" o "N" (Líneas 100-105). También comprobar que ALUMNOS_PRESENTES en un aula sea mayor que 0 (Línea 1111)</t>
  </si>
  <si>
    <t>Se han creado Restricciones NOT NULL / UNIQUE</t>
  </si>
  <si>
    <t>Si, en la tabla MATERIA, el campo NOMBRE (Línea 58) es NOT NULL UNIQUE, ya que el nombre de una materia es único. También por ejemplo el NOMBRE de SEDE (Línea 73) o el USUARIO_ORACLE de ESTUDIANTE y VOCAL (Líneas 1092 y 1104)</t>
  </si>
  <si>
    <t>¿Se ha aplicado alguna política de autorización VPD?</t>
  </si>
  <si>
    <t>Líneas 1685-1738. Si el usuario es un estudiante (su sesión empieza por EST_), la base de datos
añade una condición para que solo pueda consultar su propio registro.</t>
  </si>
  <si>
    <t>Se ha configurado AUDIT para modificación de asistentes a examen o se ha creado un Trigger</t>
  </si>
  <si>
    <t>Líneas 1741-1831. Se ha creado un trigger que al hacer cambios en ASISTENCIA se almacena los cambios hechos en la tabla AUDIT_ASISTENCIA</t>
  </si>
  <si>
    <t>Se han introducido (SUFICIENTES) datos para comprobar la integridad referencial del modelo lógico?</t>
  </si>
  <si>
    <t>Si, además de los datos introdcucidos de los CSV (Líneas 164-254), se han añadido más datos a las tablas que quedaban vacías (Líneas 744-757)</t>
  </si>
  <si>
    <t>Auditoria</t>
  </si>
  <si>
    <t>Se han tratado correctamente las mayusculas/minusculas en triggers, índices, etc.</t>
  </si>
  <si>
    <t>Si, un claro ejemplo es el índice de función IDX_EST_APELLIDOS_UPPER (Líneas 451-453), en PR_INSERTA_MATERIAS donde comprobamos que el nombre de la materia coincide (Línea 291) o en PR_ASIGNA_SEDE donde se cruza los nombres de las sedes con el de los institutos (Líneas 654-656)</t>
  </si>
  <si>
    <t>Miscelanea</t>
  </si>
  <si>
    <t>¿Se han introducido procedimientos/funciones/jobs/triggers o vistas adicionales a las propuestas?</t>
  </si>
  <si>
    <t>Si, por ejemplo las vistas asignadas a cada rol fueron creadas (Líneas 1118-1266) o la función auxiliar GENERAR_PASSWORD_ALEATORIA (Líneas 1294-1298) para generar contraseñas</t>
  </si>
  <si>
    <t>Nota</t>
  </si>
  <si>
    <t>Nota final</t>
  </si>
  <si>
    <t>Columna1</t>
  </si>
  <si>
    <t>NO</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</si>
</sst>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8.0"/>
      <color theme="1"/>
      <name val="Calibri"/>
    </font>
    <font>
      <b/>
      <sz val="12.0"/>
      <color theme="1"/>
      <name val="Calibri"/>
    </font>
    <font>
      <b/>
      <sz val="11.0"/>
      <color theme="1"/>
      <name val="Calibri"/>
    </font>
    <font>
      <b/>
      <u/>
      <sz val="11.0"/>
      <color theme="1"/>
      <name val="Calibri"/>
    </font>
    <font>
      <sz val="11.0"/>
      <color theme="1"/>
      <name val="Calibri"/>
    </font>
    <font>
      <color theme="1"/>
      <name val="Calibri"/>
    </font>
    <font>
      <sz val="11.0"/>
      <color rgb="FF000000"/>
      <name val="Calibri"/>
    </font>
    <font>
      <i/>
      <sz val="11.0"/>
      <color theme="1"/>
      <name val="Calibri"/>
    </font>
    <font>
      <sz val="10.0"/>
      <color rgb="FF000000"/>
      <name val="Tahoma"/>
    </font>
    <font>
      <sz val="11.0"/>
      <color theme="1"/>
      <name val="Courier New"/>
    </font>
    <font>
      <sz val="18.0"/>
      <color rgb="FFFF0000"/>
      <name val="Calibri"/>
    </font>
    <font>
      <b/>
      <u/>
      <sz val="11.0"/>
      <color theme="1"/>
      <name val="Calibri"/>
    </font>
    <font>
      <color rgb="FFFFFFFF"/>
      <name val="Calibri"/>
    </font>
  </fonts>
  <fills count="3">
    <fill>
      <patternFill patternType="none"/>
    </fill>
    <fill>
      <patternFill patternType="lightGray"/>
    </fill>
    <fill>
      <patternFill patternType="solid">
        <fgColor rgb="FFFFFF00"/>
        <bgColor rgb="FFFFFF00"/>
      </patternFill>
    </fill>
  </fills>
  <borders count="4">
    <border/>
    <border>
      <left/>
      <right/>
      <top/>
      <bottom/>
    </border>
    <border>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1" numFmtId="0" xfId="0" applyAlignment="1" applyFont="1">
      <alignment shrinkToFit="0" wrapText="1"/>
    </xf>
    <xf borderId="0" fillId="0" fontId="2" numFmtId="0" xfId="0" applyFont="1"/>
    <xf borderId="1" fillId="2" fontId="3" numFmtId="0" xfId="0" applyAlignment="1" applyBorder="1" applyFont="1">
      <alignment horizontal="left"/>
    </xf>
    <xf borderId="1" fillId="2" fontId="3" numFmtId="0" xfId="0" applyAlignment="1" applyBorder="1" applyFont="1">
      <alignment horizontal="left" shrinkToFit="0" wrapText="1"/>
    </xf>
    <xf borderId="0" fillId="0" fontId="3" numFmtId="0" xfId="0" applyAlignment="1" applyFont="1">
      <alignment horizontal="left"/>
    </xf>
    <xf borderId="0" fillId="0" fontId="3" numFmtId="0" xfId="0" applyAlignment="1" applyFont="1">
      <alignment horizontal="left" shrinkToFit="0" wrapText="1"/>
    </xf>
    <xf borderId="0" fillId="0" fontId="4" numFmtId="0" xfId="0" applyAlignment="1" applyFont="1">
      <alignment shrinkToFit="0" wrapText="1"/>
    </xf>
    <xf borderId="0" fillId="0" fontId="5" numFmtId="0" xfId="0" applyAlignment="1" applyFont="1">
      <alignment shrinkToFit="0" wrapText="1"/>
    </xf>
    <xf borderId="2" fillId="0" fontId="3" numFmtId="0" xfId="0" applyAlignment="1" applyBorder="1" applyFont="1">
      <alignment shrinkToFit="0" wrapText="1"/>
    </xf>
    <xf borderId="0" fillId="0" fontId="3" numFmtId="0" xfId="0" applyAlignment="1" applyFont="1">
      <alignment shrinkToFit="0" wrapText="1"/>
    </xf>
    <xf borderId="0" fillId="0" fontId="6" numFmtId="0" xfId="0" applyFont="1"/>
    <xf borderId="0" fillId="0" fontId="7" numFmtId="0" xfId="0" applyFon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0" xfId="0" applyFont="1"/>
    <xf borderId="0" fillId="0" fontId="8" numFmtId="0" xfId="0" applyAlignment="1" applyFont="1">
      <alignment shrinkToFit="0" vertical="bottom" wrapText="1"/>
    </xf>
    <xf borderId="3" fillId="0" fontId="5" numFmtId="0" xfId="0" applyAlignment="1" applyBorder="1" applyFont="1">
      <alignment shrinkToFit="0" wrapText="1"/>
    </xf>
    <xf borderId="3" fillId="0" fontId="8" numFmtId="0" xfId="0" applyAlignment="1" applyBorder="1" applyFont="1">
      <alignment shrinkToFit="0" wrapText="1"/>
    </xf>
    <xf borderId="3" fillId="0" fontId="5" numFmtId="0" xfId="0" applyBorder="1" applyFont="1"/>
    <xf borderId="0" fillId="0" fontId="5" numFmtId="2" xfId="0" applyFont="1" applyNumberFormat="1"/>
    <xf borderId="0" fillId="0" fontId="11" numFmtId="0" xfId="0" applyFont="1"/>
    <xf borderId="3" fillId="0" fontId="11" numFmtId="0" xfId="0" applyBorder="1" applyFont="1"/>
    <xf borderId="0" fillId="0" fontId="12" numFmtId="0" xfId="0" applyFont="1"/>
    <xf borderId="0" fillId="0" fontId="13" numFmtId="0" xfId="0" applyFont="1"/>
    <xf borderId="0" fillId="0" fontId="6" numFmtId="0" xfId="0" applyFont="1"/>
  </cellXfs>
  <cellStyles count="1">
    <cellStyle xfId="0" name="Normal" builtinId="0"/>
  </cellStyles>
  <dxfs count="4">
    <dxf>
      <font/>
      <fill>
        <patternFill patternType="none"/>
      </fill>
      <border/>
    </dxf>
    <dxf>
      <font/>
      <fill>
        <patternFill patternType="solid">
          <fgColor theme="4"/>
          <bgColor theme="4"/>
        </patternFill>
      </fill>
      <border/>
    </dxf>
    <dxf>
      <font/>
      <fill>
        <patternFill patternType="solid">
          <fgColor rgb="FFDEEAF6"/>
          <bgColor rgb="FFDEEAF6"/>
        </patternFill>
      </fill>
      <border/>
    </dxf>
    <dxf>
      <font/>
      <fill>
        <patternFill patternType="solid">
          <fgColor theme="0"/>
          <bgColor theme="0"/>
        </patternFill>
      </fill>
      <border/>
    </dxf>
  </dxfs>
  <tableStyles count="1">
    <tableStyle count="3" pivot="0" name="Hoja2-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3" displayName="Table_1" name="Table_1" id="1">
  <tableColumns count="1">
    <tableColumn name="Columna1" id="1"/>
  </tableColumns>
  <tableStyleInfo name="Hoja2-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2.0"/>
    <col customWidth="1" min="2" max="2" width="51.14"/>
    <col customWidth="1" min="3" max="3" width="46.14"/>
    <col customWidth="1" min="4" max="4" width="11.43"/>
    <col customWidth="1" min="5" max="5" width="52.29"/>
    <col customWidth="1" min="6" max="7" width="11.43"/>
  </cols>
  <sheetData>
    <row r="1" ht="14.25" customHeight="1">
      <c r="A1" s="1"/>
      <c r="B1" s="1" t="s">
        <v>0</v>
      </c>
      <c r="C1" s="2" t="s">
        <v>1</v>
      </c>
      <c r="D1" s="1"/>
      <c r="E1" s="3"/>
      <c r="F1" s="1"/>
    </row>
    <row r="2" ht="14.25" customHeight="1">
      <c r="A2" s="4" t="s">
        <v>2</v>
      </c>
      <c r="B2" s="4"/>
      <c r="C2" s="4"/>
      <c r="D2" s="5" t="s">
        <v>3</v>
      </c>
      <c r="E2" s="6"/>
      <c r="F2" s="5"/>
    </row>
    <row r="3" ht="14.25" customHeight="1">
      <c r="A3" s="7"/>
      <c r="B3" s="8"/>
      <c r="C3" s="8"/>
      <c r="D3" s="8"/>
      <c r="E3" s="8"/>
      <c r="F3" s="7" t="s">
        <v>4</v>
      </c>
    </row>
    <row r="4" ht="14.25" customHeight="1">
      <c r="A4" s="9" t="s">
        <v>5</v>
      </c>
      <c r="B4" s="10"/>
      <c r="C4" s="9"/>
      <c r="D4" s="9" t="s">
        <v>6</v>
      </c>
      <c r="E4" s="11" t="s">
        <v>7</v>
      </c>
      <c r="F4" s="9" t="s">
        <v>8</v>
      </c>
      <c r="G4" s="9"/>
    </row>
    <row r="5" ht="14.25" customHeight="1">
      <c r="B5" s="12" t="s">
        <v>9</v>
      </c>
      <c r="C5" s="12"/>
      <c r="D5" s="12"/>
      <c r="E5" s="10"/>
    </row>
    <row r="6">
      <c r="A6" s="13">
        <v>1.0</v>
      </c>
      <c r="B6" s="14" t="s">
        <v>10</v>
      </c>
      <c r="C6" s="10" t="s">
        <v>11</v>
      </c>
      <c r="D6" s="15" t="s">
        <v>12</v>
      </c>
      <c r="E6" s="16" t="s">
        <v>13</v>
      </c>
      <c r="F6" s="13">
        <f t="shared" ref="F6:F10" si="1">IF(D6="SI",1,0)</f>
        <v>1</v>
      </c>
    </row>
    <row r="7">
      <c r="B7" s="10"/>
      <c r="C7" s="10" t="s">
        <v>14</v>
      </c>
      <c r="D7" s="15" t="s">
        <v>12</v>
      </c>
      <c r="E7" s="16" t="s">
        <v>15</v>
      </c>
      <c r="F7" s="13">
        <f t="shared" si="1"/>
        <v>1</v>
      </c>
    </row>
    <row r="8">
      <c r="B8" s="10"/>
      <c r="C8" s="10" t="s">
        <v>16</v>
      </c>
      <c r="D8" s="15" t="s">
        <v>12</v>
      </c>
      <c r="E8" s="16" t="s">
        <v>17</v>
      </c>
      <c r="F8" s="13">
        <f t="shared" si="1"/>
        <v>1</v>
      </c>
    </row>
    <row r="9">
      <c r="A9" s="13">
        <f>A6+1</f>
        <v>2</v>
      </c>
      <c r="B9" s="10" t="s">
        <v>18</v>
      </c>
      <c r="C9" s="10" t="s">
        <v>19</v>
      </c>
      <c r="D9" s="15" t="s">
        <v>12</v>
      </c>
      <c r="E9" s="16" t="s">
        <v>20</v>
      </c>
      <c r="F9" s="13">
        <f t="shared" si="1"/>
        <v>1</v>
      </c>
    </row>
    <row r="10">
      <c r="B10" s="10"/>
      <c r="C10" s="10" t="s">
        <v>21</v>
      </c>
      <c r="D10" s="15" t="s">
        <v>12</v>
      </c>
      <c r="E10" s="16" t="s">
        <v>22</v>
      </c>
      <c r="F10" s="13">
        <f t="shared" si="1"/>
        <v>1</v>
      </c>
    </row>
    <row r="11">
      <c r="B11" s="10"/>
      <c r="C11" s="10" t="s">
        <v>23</v>
      </c>
      <c r="D11" s="15" t="s">
        <v>12</v>
      </c>
      <c r="E11" s="16" t="s">
        <v>24</v>
      </c>
    </row>
    <row r="12">
      <c r="B12" s="10"/>
      <c r="C12" s="10" t="s">
        <v>25</v>
      </c>
      <c r="D12" s="15" t="s">
        <v>12</v>
      </c>
      <c r="E12" s="16" t="s">
        <v>26</v>
      </c>
      <c r="F12" s="13">
        <f t="shared" ref="F12:F35" si="2">IF(D12="SI",1,0)</f>
        <v>1</v>
      </c>
    </row>
    <row r="13">
      <c r="B13" s="10"/>
      <c r="C13" s="10" t="s">
        <v>27</v>
      </c>
      <c r="D13" s="15" t="s">
        <v>12</v>
      </c>
      <c r="E13" s="16" t="s">
        <v>28</v>
      </c>
      <c r="F13" s="13">
        <f t="shared" si="2"/>
        <v>1</v>
      </c>
    </row>
    <row r="14">
      <c r="C14" s="10" t="s">
        <v>29</v>
      </c>
      <c r="D14" s="15" t="s">
        <v>12</v>
      </c>
      <c r="E14" s="16" t="s">
        <v>30</v>
      </c>
      <c r="F14" s="13">
        <f t="shared" si="2"/>
        <v>1</v>
      </c>
    </row>
    <row r="15">
      <c r="A15" s="13">
        <f>A9+1</f>
        <v>3</v>
      </c>
      <c r="B15" s="13" t="s">
        <v>31</v>
      </c>
      <c r="C15" s="10" t="s">
        <v>32</v>
      </c>
      <c r="D15" s="15" t="s">
        <v>12</v>
      </c>
      <c r="E15" s="16" t="s">
        <v>33</v>
      </c>
      <c r="F15" s="13">
        <f t="shared" si="2"/>
        <v>1</v>
      </c>
    </row>
    <row r="16">
      <c r="B16" s="10"/>
      <c r="C16" s="10" t="s">
        <v>34</v>
      </c>
      <c r="D16" s="15" t="s">
        <v>12</v>
      </c>
      <c r="E16" s="16" t="s">
        <v>35</v>
      </c>
      <c r="F16" s="13">
        <f t="shared" si="2"/>
        <v>1</v>
      </c>
    </row>
    <row r="17">
      <c r="B17" s="10"/>
      <c r="C17" s="17" t="s">
        <v>36</v>
      </c>
      <c r="D17" s="15" t="s">
        <v>12</v>
      </c>
      <c r="E17" s="16" t="s">
        <v>37</v>
      </c>
      <c r="F17" s="13">
        <f t="shared" si="2"/>
        <v>1</v>
      </c>
    </row>
    <row r="18">
      <c r="B18" s="10"/>
      <c r="C18" s="17" t="s">
        <v>38</v>
      </c>
      <c r="D18" s="15" t="s">
        <v>12</v>
      </c>
      <c r="E18" s="16" t="s">
        <v>39</v>
      </c>
      <c r="F18" s="13">
        <f t="shared" si="2"/>
        <v>1</v>
      </c>
    </row>
    <row r="19">
      <c r="B19" s="10"/>
      <c r="C19" s="17" t="s">
        <v>40</v>
      </c>
      <c r="D19" s="15" t="s">
        <v>12</v>
      </c>
      <c r="E19" s="16" t="s">
        <v>41</v>
      </c>
      <c r="F19" s="13">
        <f t="shared" si="2"/>
        <v>1</v>
      </c>
    </row>
    <row r="20">
      <c r="B20" s="10"/>
      <c r="C20" s="17" t="s">
        <v>42</v>
      </c>
      <c r="D20" s="15" t="s">
        <v>12</v>
      </c>
      <c r="E20" s="16" t="s">
        <v>43</v>
      </c>
      <c r="F20" s="13">
        <f t="shared" si="2"/>
        <v>1</v>
      </c>
    </row>
    <row r="21">
      <c r="B21" s="10"/>
      <c r="C21" s="17" t="s">
        <v>44</v>
      </c>
      <c r="D21" s="15" t="s">
        <v>12</v>
      </c>
      <c r="E21" s="16" t="s">
        <v>45</v>
      </c>
      <c r="F21" s="13">
        <f t="shared" si="2"/>
        <v>1</v>
      </c>
    </row>
    <row r="22" ht="16.5" customHeight="1">
      <c r="B22" s="10"/>
      <c r="C22" s="17" t="s">
        <v>46</v>
      </c>
      <c r="D22" s="15" t="s">
        <v>12</v>
      </c>
      <c r="E22" s="16" t="s">
        <v>47</v>
      </c>
      <c r="F22" s="13">
        <f t="shared" si="2"/>
        <v>1</v>
      </c>
    </row>
    <row r="23" ht="17.25" customHeight="1">
      <c r="B23" s="10"/>
      <c r="C23" s="17" t="s">
        <v>48</v>
      </c>
      <c r="D23" s="15" t="s">
        <v>12</v>
      </c>
      <c r="E23" s="16" t="s">
        <v>49</v>
      </c>
      <c r="F23" s="13">
        <f t="shared" si="2"/>
        <v>1</v>
      </c>
    </row>
    <row r="24" ht="16.5" customHeight="1">
      <c r="B24" s="10"/>
      <c r="C24" s="17" t="s">
        <v>50</v>
      </c>
      <c r="D24" s="15" t="s">
        <v>12</v>
      </c>
      <c r="E24" s="16" t="s">
        <v>51</v>
      </c>
      <c r="F24" s="13">
        <f t="shared" si="2"/>
        <v>1</v>
      </c>
    </row>
    <row r="25" ht="14.25" customHeight="1">
      <c r="A25" s="13">
        <f>A15+1</f>
        <v>4</v>
      </c>
      <c r="B25" s="13" t="s">
        <v>52</v>
      </c>
      <c r="C25" s="10" t="s">
        <v>53</v>
      </c>
      <c r="D25" s="15" t="s">
        <v>12</v>
      </c>
      <c r="E25" s="16" t="s">
        <v>54</v>
      </c>
      <c r="F25" s="13">
        <f t="shared" si="2"/>
        <v>1</v>
      </c>
    </row>
    <row r="26" ht="14.25" customHeight="1">
      <c r="C26" s="15" t="s">
        <v>55</v>
      </c>
      <c r="D26" s="15" t="s">
        <v>12</v>
      </c>
      <c r="E26" s="16" t="s">
        <v>56</v>
      </c>
      <c r="F26" s="13">
        <f t="shared" si="2"/>
        <v>1</v>
      </c>
    </row>
    <row r="27" ht="14.25" customHeight="1">
      <c r="A27" s="13">
        <f>A25+1</f>
        <v>5</v>
      </c>
      <c r="B27" s="10" t="s">
        <v>57</v>
      </c>
      <c r="C27" s="18" t="s">
        <v>58</v>
      </c>
      <c r="D27" s="15" t="s">
        <v>12</v>
      </c>
      <c r="E27" s="16" t="s">
        <v>59</v>
      </c>
      <c r="F27" s="13">
        <f t="shared" si="2"/>
        <v>1</v>
      </c>
    </row>
    <row r="28" ht="14.25" customHeight="1">
      <c r="B28" s="10"/>
      <c r="C28" s="18" t="s">
        <v>60</v>
      </c>
      <c r="D28" s="15" t="s">
        <v>12</v>
      </c>
      <c r="E28" s="16" t="s">
        <v>61</v>
      </c>
      <c r="F28" s="13">
        <f t="shared" si="2"/>
        <v>1</v>
      </c>
    </row>
    <row r="29" ht="14.25" customHeight="1">
      <c r="B29" s="15"/>
      <c r="C29" s="18" t="s">
        <v>62</v>
      </c>
      <c r="D29" s="15" t="s">
        <v>12</v>
      </c>
      <c r="E29" s="19" t="s">
        <v>63</v>
      </c>
      <c r="F29" s="13">
        <f t="shared" si="2"/>
        <v>1</v>
      </c>
    </row>
    <row r="30" ht="14.25" customHeight="1">
      <c r="B30" s="15"/>
      <c r="C30" s="18" t="s">
        <v>64</v>
      </c>
      <c r="D30" s="15" t="s">
        <v>12</v>
      </c>
      <c r="E30" s="19" t="s">
        <v>65</v>
      </c>
      <c r="F30" s="13">
        <f t="shared" si="2"/>
        <v>1</v>
      </c>
    </row>
    <row r="31" ht="14.25" customHeight="1">
      <c r="B31" s="15"/>
      <c r="C31" s="18" t="s">
        <v>66</v>
      </c>
      <c r="D31" s="15" t="s">
        <v>12</v>
      </c>
      <c r="E31" s="16" t="s">
        <v>67</v>
      </c>
      <c r="F31" s="13">
        <f t="shared" si="2"/>
        <v>1</v>
      </c>
    </row>
    <row r="32" ht="14.25" customHeight="1">
      <c r="B32" s="15"/>
      <c r="C32" s="18" t="s">
        <v>68</v>
      </c>
      <c r="D32" s="15" t="s">
        <v>12</v>
      </c>
      <c r="E32" s="16" t="s">
        <v>69</v>
      </c>
      <c r="F32" s="13">
        <f t="shared" si="2"/>
        <v>1</v>
      </c>
    </row>
    <row r="33">
      <c r="A33" s="13">
        <f>A27+1</f>
        <v>6</v>
      </c>
      <c r="B33" s="13" t="s">
        <v>70</v>
      </c>
      <c r="C33" s="18" t="s">
        <v>71</v>
      </c>
      <c r="D33" s="15" t="s">
        <v>12</v>
      </c>
      <c r="E33" s="16" t="s">
        <v>72</v>
      </c>
      <c r="F33" s="13">
        <f t="shared" si="2"/>
        <v>1</v>
      </c>
    </row>
    <row r="34">
      <c r="A34" s="13">
        <f t="shared" ref="A34:A36" si="3">A33+1</f>
        <v>7</v>
      </c>
      <c r="B34" s="10" t="s">
        <v>73</v>
      </c>
      <c r="C34" s="10" t="s">
        <v>74</v>
      </c>
      <c r="D34" s="15" t="s">
        <v>12</v>
      </c>
      <c r="E34" s="16" t="s">
        <v>75</v>
      </c>
      <c r="F34" s="13">
        <f t="shared" si="2"/>
        <v>1</v>
      </c>
    </row>
    <row r="35">
      <c r="A35" s="13">
        <f t="shared" si="3"/>
        <v>8</v>
      </c>
      <c r="B35" s="13" t="s">
        <v>76</v>
      </c>
      <c r="C35" s="10" t="s">
        <v>77</v>
      </c>
      <c r="D35" s="15" t="s">
        <v>12</v>
      </c>
      <c r="E35" s="16" t="s">
        <v>78</v>
      </c>
      <c r="F35" s="13">
        <f t="shared" si="2"/>
        <v>1</v>
      </c>
    </row>
    <row r="36">
      <c r="A36" s="13">
        <f t="shared" si="3"/>
        <v>9</v>
      </c>
      <c r="B36" s="10" t="s">
        <v>79</v>
      </c>
      <c r="C36" s="20"/>
      <c r="D36" s="15" t="s">
        <v>12</v>
      </c>
      <c r="E36" s="21" t="s">
        <v>80</v>
      </c>
      <c r="F36" s="22"/>
    </row>
    <row r="37" ht="14.25" customHeight="1">
      <c r="B37" s="10"/>
      <c r="C37" s="10"/>
      <c r="D37" s="10"/>
      <c r="E37" s="16"/>
      <c r="F37" s="23">
        <f>SUM(F6:F36)/COUNT(F6:F36)*1.5</f>
        <v>1.5</v>
      </c>
    </row>
    <row r="38" ht="14.25" customHeight="1">
      <c r="B38" s="24" t="s">
        <v>81</v>
      </c>
      <c r="C38" s="20"/>
      <c r="D38" s="20"/>
      <c r="E38" s="21"/>
      <c r="F38" s="22"/>
      <c r="G38" s="23"/>
    </row>
    <row r="39" ht="14.25" customHeight="1">
      <c r="A39" s="22"/>
      <c r="B39" s="25" t="s">
        <v>82</v>
      </c>
      <c r="C39" s="10"/>
      <c r="D39" s="10"/>
      <c r="E39" s="16"/>
    </row>
    <row r="40" ht="14.25" customHeight="1">
      <c r="B40" s="24" t="s">
        <v>83</v>
      </c>
      <c r="C40" s="10"/>
      <c r="D40" s="10"/>
      <c r="E40" s="16"/>
    </row>
    <row r="41">
      <c r="A41" s="13">
        <v>1.0</v>
      </c>
      <c r="B41" s="10" t="s">
        <v>84</v>
      </c>
      <c r="C41" s="10" t="s">
        <v>85</v>
      </c>
      <c r="D41" s="15" t="s">
        <v>12</v>
      </c>
      <c r="E41" s="16" t="s">
        <v>86</v>
      </c>
      <c r="F41" s="13">
        <f t="shared" ref="F41:F49" si="4">IF(D41="SI",1,0)</f>
        <v>1</v>
      </c>
    </row>
    <row r="42">
      <c r="B42" s="10"/>
      <c r="C42" s="10" t="s">
        <v>87</v>
      </c>
      <c r="D42" s="15" t="s">
        <v>12</v>
      </c>
      <c r="E42" s="16" t="s">
        <v>88</v>
      </c>
      <c r="F42" s="13">
        <f t="shared" si="4"/>
        <v>1</v>
      </c>
    </row>
    <row r="43">
      <c r="A43" s="13">
        <f>A41+1</f>
        <v>2</v>
      </c>
      <c r="B43" s="13" t="s">
        <v>89</v>
      </c>
      <c r="C43" s="10" t="s">
        <v>90</v>
      </c>
      <c r="D43" s="15" t="s">
        <v>12</v>
      </c>
      <c r="E43" s="16" t="s">
        <v>91</v>
      </c>
      <c r="F43" s="13">
        <f t="shared" si="4"/>
        <v>1</v>
      </c>
    </row>
    <row r="44">
      <c r="B44" s="10"/>
      <c r="C44" s="10" t="s">
        <v>92</v>
      </c>
      <c r="D44" s="15" t="s">
        <v>12</v>
      </c>
      <c r="E44" s="16" t="s">
        <v>93</v>
      </c>
      <c r="F44" s="13">
        <f t="shared" si="4"/>
        <v>1</v>
      </c>
    </row>
    <row r="45">
      <c r="A45" s="13">
        <f>A43+1</f>
        <v>3</v>
      </c>
      <c r="B45" s="10" t="s">
        <v>18</v>
      </c>
      <c r="C45" s="10" t="s">
        <v>94</v>
      </c>
      <c r="D45" s="15" t="s">
        <v>12</v>
      </c>
      <c r="E45" s="16" t="s">
        <v>95</v>
      </c>
      <c r="F45" s="13">
        <f t="shared" si="4"/>
        <v>1</v>
      </c>
    </row>
    <row r="46">
      <c r="B46" s="10"/>
      <c r="C46" s="10" t="s">
        <v>96</v>
      </c>
      <c r="D46" s="15" t="s">
        <v>12</v>
      </c>
      <c r="E46" s="16" t="s">
        <v>97</v>
      </c>
      <c r="F46" s="13">
        <f t="shared" si="4"/>
        <v>1</v>
      </c>
    </row>
    <row r="47">
      <c r="B47" s="10"/>
      <c r="C47" s="10" t="s">
        <v>98</v>
      </c>
      <c r="D47" s="15" t="s">
        <v>12</v>
      </c>
      <c r="E47" s="16" t="s">
        <v>99</v>
      </c>
      <c r="F47" s="13">
        <f t="shared" si="4"/>
        <v>1</v>
      </c>
    </row>
    <row r="48" ht="15.75" customHeight="1">
      <c r="A48" s="13">
        <f>A45+1</f>
        <v>4</v>
      </c>
      <c r="B48" s="13" t="s">
        <v>100</v>
      </c>
      <c r="C48" s="10" t="s">
        <v>101</v>
      </c>
      <c r="D48" s="15" t="s">
        <v>12</v>
      </c>
      <c r="E48" s="16" t="s">
        <v>102</v>
      </c>
      <c r="F48" s="13">
        <f t="shared" si="4"/>
        <v>1</v>
      </c>
    </row>
    <row r="49" ht="14.25" customHeight="1">
      <c r="A49" s="13">
        <f>A48+1</f>
        <v>5</v>
      </c>
      <c r="B49" s="26" t="s">
        <v>103</v>
      </c>
      <c r="C49" s="10" t="s">
        <v>104</v>
      </c>
      <c r="D49" s="15" t="s">
        <v>12</v>
      </c>
      <c r="E49" s="16" t="s">
        <v>105</v>
      </c>
      <c r="F49" s="13">
        <f t="shared" si="4"/>
        <v>1</v>
      </c>
    </row>
    <row r="50" ht="45.0" customHeight="1">
      <c r="B50" s="10"/>
      <c r="C50" s="10"/>
      <c r="E50" s="10"/>
      <c r="F50" s="23">
        <f>SUM(F41:F49)/COUNT(F41:F49)*1.5</f>
        <v>1.5</v>
      </c>
    </row>
    <row r="51" ht="14.25" customHeight="1">
      <c r="B51" s="10"/>
      <c r="C51" s="10"/>
      <c r="E51" s="10"/>
      <c r="F51" s="23">
        <f>F50+F37</f>
        <v>3</v>
      </c>
    </row>
    <row r="52" ht="14.25" customHeight="1">
      <c r="A52" s="10"/>
      <c r="B52" s="10"/>
      <c r="C52" s="10"/>
      <c r="E52" s="10"/>
    </row>
    <row r="53" ht="14.25" customHeight="1">
      <c r="A53" s="10"/>
      <c r="B53" s="10"/>
      <c r="E53" s="10"/>
      <c r="G53" s="23"/>
    </row>
    <row r="54" ht="14.25" customHeight="1">
      <c r="A54" s="10"/>
      <c r="B54" s="10"/>
      <c r="E54" s="10"/>
      <c r="G54" s="23"/>
    </row>
    <row r="55" ht="14.25" customHeight="1">
      <c r="A55" s="10" t="s">
        <v>106</v>
      </c>
      <c r="B55" s="10" t="s">
        <v>107</v>
      </c>
      <c r="E55" s="10"/>
    </row>
    <row r="56" ht="14.25" customHeight="1">
      <c r="E56" s="10"/>
    </row>
    <row r="57" ht="14.25" customHeight="1">
      <c r="E57" s="10"/>
    </row>
    <row r="58" ht="14.25" customHeight="1">
      <c r="E58" s="10"/>
    </row>
    <row r="59" ht="14.25" customHeight="1">
      <c r="E59" s="10"/>
    </row>
    <row r="60" ht="14.25" customHeight="1">
      <c r="E60" s="10"/>
    </row>
    <row r="61" ht="14.25" customHeight="1">
      <c r="E61" s="10"/>
    </row>
    <row r="62" ht="14.25" customHeight="1">
      <c r="E62" s="10"/>
    </row>
    <row r="63" ht="14.25" customHeight="1">
      <c r="E63" s="10"/>
    </row>
    <row r="64" ht="14.25" customHeight="1">
      <c r="E64" s="10"/>
    </row>
    <row r="65" ht="14.25" customHeight="1">
      <c r="E65" s="10"/>
    </row>
    <row r="66" ht="14.25" customHeight="1">
      <c r="E66" s="10"/>
    </row>
    <row r="67" ht="14.25" customHeight="1">
      <c r="E67" s="10"/>
    </row>
    <row r="68" ht="14.25" customHeight="1">
      <c r="E68" s="10"/>
    </row>
    <row r="69" ht="14.25" customHeight="1">
      <c r="E69" s="10"/>
    </row>
    <row r="70" ht="14.25" customHeight="1">
      <c r="E70" s="10"/>
    </row>
    <row r="71" ht="14.25" customHeight="1">
      <c r="E71" s="10"/>
    </row>
    <row r="72" ht="14.25" customHeight="1">
      <c r="E72" s="10"/>
    </row>
    <row r="73" ht="14.25" customHeight="1">
      <c r="E73" s="10"/>
    </row>
    <row r="74" ht="14.25" customHeight="1">
      <c r="E74" s="10"/>
    </row>
    <row r="75" ht="14.25" customHeight="1">
      <c r="E75" s="10"/>
    </row>
    <row r="76" ht="14.25" customHeight="1">
      <c r="E76" s="10"/>
    </row>
    <row r="77" ht="14.25" customHeight="1">
      <c r="E77" s="10"/>
    </row>
    <row r="78" ht="14.25" customHeight="1">
      <c r="E78" s="10"/>
    </row>
    <row r="79" ht="14.25" customHeight="1">
      <c r="E79" s="10"/>
    </row>
    <row r="80" ht="14.25" customHeight="1">
      <c r="E80" s="10"/>
    </row>
    <row r="81" ht="14.25" customHeight="1">
      <c r="E81" s="10"/>
    </row>
    <row r="82" ht="14.25" customHeight="1">
      <c r="E82" s="10"/>
    </row>
    <row r="83" ht="14.25" customHeight="1">
      <c r="E83" s="10"/>
    </row>
    <row r="84" ht="14.25" customHeight="1">
      <c r="E84" s="10"/>
    </row>
    <row r="85" ht="14.25" customHeight="1">
      <c r="E85" s="10"/>
    </row>
    <row r="86" ht="14.25" customHeight="1">
      <c r="E86" s="10"/>
    </row>
    <row r="87" ht="14.25" customHeight="1">
      <c r="E87" s="10"/>
    </row>
    <row r="88" ht="14.25" customHeight="1">
      <c r="E88" s="10"/>
    </row>
    <row r="89" ht="14.25" customHeight="1">
      <c r="E89" s="10"/>
    </row>
    <row r="90" ht="14.25" customHeight="1">
      <c r="E90" s="10"/>
    </row>
    <row r="91" ht="14.25" customHeight="1">
      <c r="E91" s="10"/>
    </row>
    <row r="92" ht="14.25" customHeight="1">
      <c r="E92" s="10"/>
    </row>
    <row r="93" ht="14.25" customHeight="1">
      <c r="E93" s="10"/>
    </row>
    <row r="94" ht="14.25" customHeight="1">
      <c r="E94" s="10"/>
    </row>
    <row r="95" ht="14.25" customHeight="1">
      <c r="E95" s="10"/>
    </row>
    <row r="96" ht="14.25" customHeight="1">
      <c r="E96" s="10"/>
    </row>
    <row r="97" ht="14.25" customHeight="1">
      <c r="E97" s="10"/>
    </row>
    <row r="98" ht="14.25" customHeight="1">
      <c r="E98" s="10"/>
    </row>
    <row r="99" ht="14.25" customHeight="1">
      <c r="E99" s="10"/>
    </row>
    <row r="100" ht="14.25" customHeight="1">
      <c r="E100" s="10"/>
    </row>
    <row r="101" ht="14.25" customHeight="1">
      <c r="E101" s="10"/>
    </row>
    <row r="102" ht="14.25" customHeight="1">
      <c r="E102" s="10"/>
    </row>
    <row r="103" ht="14.25" customHeight="1">
      <c r="E103" s="10"/>
    </row>
    <row r="104" ht="14.25" customHeight="1">
      <c r="E104" s="10"/>
    </row>
    <row r="105" ht="14.25" customHeight="1">
      <c r="E105" s="10"/>
    </row>
    <row r="106" ht="14.25" customHeight="1">
      <c r="E106" s="10"/>
    </row>
    <row r="107" ht="14.25" customHeight="1">
      <c r="E107" s="10"/>
    </row>
    <row r="108" ht="14.25" customHeight="1">
      <c r="E108" s="10"/>
    </row>
    <row r="109" ht="14.25" customHeight="1">
      <c r="E109" s="10"/>
    </row>
    <row r="110" ht="14.25" customHeight="1">
      <c r="E110" s="10"/>
    </row>
    <row r="111" ht="14.25" customHeight="1">
      <c r="E111" s="10"/>
    </row>
    <row r="112" ht="14.25" customHeight="1">
      <c r="E112" s="10"/>
    </row>
    <row r="113" ht="14.25" customHeight="1">
      <c r="E113" s="10"/>
    </row>
    <row r="114" ht="14.25" customHeight="1">
      <c r="E114" s="10"/>
    </row>
    <row r="115" ht="14.25" customHeight="1">
      <c r="E115" s="10"/>
    </row>
    <row r="116" ht="14.25" customHeight="1">
      <c r="E116" s="10"/>
    </row>
    <row r="117" ht="14.25" customHeight="1">
      <c r="E117" s="10"/>
    </row>
    <row r="118" ht="14.25" customHeight="1">
      <c r="E118" s="10"/>
    </row>
    <row r="119" ht="14.25" customHeight="1">
      <c r="E119" s="10"/>
    </row>
    <row r="120" ht="14.25" customHeight="1">
      <c r="E120" s="10"/>
    </row>
    <row r="121" ht="14.25" customHeight="1">
      <c r="E121" s="10"/>
    </row>
    <row r="122" ht="14.25" customHeight="1">
      <c r="E122" s="10"/>
    </row>
    <row r="123" ht="14.25" customHeight="1">
      <c r="E123" s="10"/>
    </row>
    <row r="124" ht="14.25" customHeight="1">
      <c r="E124" s="10"/>
    </row>
    <row r="125" ht="14.25" customHeight="1">
      <c r="E125" s="10"/>
    </row>
    <row r="126" ht="14.25" customHeight="1">
      <c r="E126" s="10"/>
    </row>
    <row r="127" ht="14.25" customHeight="1">
      <c r="E127" s="10"/>
    </row>
    <row r="128" ht="14.25" customHeight="1">
      <c r="E128" s="10"/>
    </row>
    <row r="129" ht="14.25" customHeight="1">
      <c r="E129" s="10"/>
    </row>
    <row r="130" ht="14.25" customHeight="1">
      <c r="E130" s="10"/>
    </row>
    <row r="131" ht="14.25" customHeight="1">
      <c r="E131" s="10"/>
    </row>
    <row r="132" ht="14.25" customHeight="1">
      <c r="E132" s="10"/>
    </row>
    <row r="133" ht="14.25" customHeight="1">
      <c r="E133" s="10"/>
    </row>
    <row r="134" ht="14.25" customHeight="1">
      <c r="E134" s="10"/>
    </row>
    <row r="135" ht="14.25" customHeight="1">
      <c r="E135" s="10"/>
    </row>
    <row r="136" ht="14.25" customHeight="1">
      <c r="E136" s="10"/>
    </row>
    <row r="137" ht="14.25" customHeight="1">
      <c r="E137" s="10"/>
    </row>
    <row r="138" ht="14.25" customHeight="1">
      <c r="E138" s="10"/>
    </row>
    <row r="139" ht="14.25" customHeight="1">
      <c r="E139" s="10"/>
    </row>
    <row r="140" ht="14.25" customHeight="1">
      <c r="E140" s="10"/>
    </row>
    <row r="141" ht="14.25" customHeight="1">
      <c r="E141" s="10"/>
    </row>
    <row r="142" ht="14.25" customHeight="1">
      <c r="E142" s="10"/>
    </row>
    <row r="143" ht="14.25" customHeight="1">
      <c r="E143" s="10"/>
    </row>
    <row r="144" ht="14.25" customHeight="1">
      <c r="E144" s="10"/>
    </row>
    <row r="145" ht="14.25" customHeight="1">
      <c r="E145" s="10"/>
    </row>
    <row r="146" ht="14.25" customHeight="1">
      <c r="E146" s="10"/>
    </row>
    <row r="147" ht="14.25" customHeight="1">
      <c r="E147" s="10"/>
    </row>
    <row r="148" ht="14.25" customHeight="1">
      <c r="E148" s="10"/>
    </row>
    <row r="149" ht="14.25" customHeight="1">
      <c r="E149" s="10"/>
    </row>
    <row r="150" ht="14.25" customHeight="1">
      <c r="E150" s="10"/>
    </row>
    <row r="151" ht="14.25" customHeight="1">
      <c r="E151" s="10"/>
    </row>
    <row r="152" ht="14.25" customHeight="1">
      <c r="E152" s="10"/>
    </row>
    <row r="153" ht="14.25" customHeight="1">
      <c r="E153" s="10"/>
    </row>
    <row r="154" ht="14.25" customHeight="1">
      <c r="E154" s="10"/>
    </row>
    <row r="155" ht="14.25" customHeight="1">
      <c r="E155" s="10"/>
    </row>
    <row r="156" ht="14.25" customHeight="1">
      <c r="E156" s="10"/>
    </row>
    <row r="157" ht="14.25" customHeight="1">
      <c r="E157" s="10"/>
    </row>
    <row r="158" ht="14.25" customHeight="1">
      <c r="E158" s="10"/>
    </row>
    <row r="159" ht="14.25" customHeight="1">
      <c r="E159" s="10"/>
    </row>
    <row r="160" ht="14.25" customHeight="1">
      <c r="E160" s="10"/>
    </row>
    <row r="161" ht="14.25" customHeight="1">
      <c r="E161" s="10"/>
    </row>
    <row r="162" ht="14.25" customHeight="1">
      <c r="E162" s="10"/>
    </row>
    <row r="163" ht="14.25" customHeight="1">
      <c r="E163" s="10"/>
    </row>
    <row r="164" ht="14.25" customHeight="1">
      <c r="E164" s="10"/>
    </row>
    <row r="165" ht="14.25" customHeight="1">
      <c r="E165" s="10"/>
    </row>
    <row r="166" ht="14.25" customHeight="1">
      <c r="E166" s="10"/>
    </row>
    <row r="167" ht="14.25" customHeight="1">
      <c r="E167" s="10"/>
    </row>
    <row r="168" ht="14.25" customHeight="1">
      <c r="E168" s="10"/>
    </row>
    <row r="169" ht="14.25" customHeight="1">
      <c r="E169" s="10"/>
    </row>
    <row r="170" ht="14.25" customHeight="1">
      <c r="E170" s="10"/>
    </row>
    <row r="171" ht="14.25" customHeight="1">
      <c r="E171" s="10"/>
    </row>
    <row r="172" ht="14.25" customHeight="1">
      <c r="E172" s="10"/>
    </row>
    <row r="173" ht="14.25" customHeight="1">
      <c r="E173" s="10"/>
    </row>
    <row r="174" ht="14.25" customHeight="1">
      <c r="E174" s="10"/>
    </row>
    <row r="175" ht="14.25" customHeight="1">
      <c r="E175" s="10"/>
    </row>
    <row r="176" ht="14.25" customHeight="1">
      <c r="E176" s="10"/>
    </row>
    <row r="177" ht="14.25" customHeight="1">
      <c r="E177" s="10"/>
    </row>
    <row r="178" ht="14.25" customHeight="1">
      <c r="E178" s="10"/>
    </row>
    <row r="179" ht="14.25" customHeight="1">
      <c r="E179" s="10"/>
    </row>
    <row r="180" ht="14.25" customHeight="1">
      <c r="E180" s="10"/>
    </row>
    <row r="181" ht="14.25" customHeight="1">
      <c r="E181" s="10"/>
    </row>
    <row r="182" ht="14.25" customHeight="1">
      <c r="E182" s="10"/>
    </row>
    <row r="183" ht="14.25" customHeight="1">
      <c r="E183" s="10"/>
    </row>
    <row r="184" ht="14.25" customHeight="1">
      <c r="E184" s="10"/>
    </row>
    <row r="185" ht="14.25" customHeight="1">
      <c r="E185" s="10"/>
    </row>
    <row r="186" ht="14.25" customHeight="1">
      <c r="E186" s="10"/>
    </row>
    <row r="187" ht="14.25" customHeight="1">
      <c r="E187" s="10"/>
    </row>
    <row r="188" ht="14.25" customHeight="1">
      <c r="E188" s="10"/>
    </row>
    <row r="189" ht="14.25" customHeight="1">
      <c r="E189" s="10"/>
    </row>
    <row r="190" ht="14.25" customHeight="1">
      <c r="E190" s="10"/>
    </row>
    <row r="191" ht="14.25" customHeight="1">
      <c r="E191" s="10"/>
    </row>
    <row r="192" ht="14.25" customHeight="1">
      <c r="E192" s="10"/>
    </row>
    <row r="193" ht="14.25" customHeight="1">
      <c r="E193" s="10"/>
    </row>
    <row r="194" ht="14.25" customHeight="1">
      <c r="E194" s="10"/>
    </row>
    <row r="195" ht="14.25" customHeight="1">
      <c r="E195" s="10"/>
    </row>
    <row r="196" ht="14.25" customHeight="1">
      <c r="E196" s="10"/>
    </row>
    <row r="197" ht="14.25" customHeight="1">
      <c r="E197" s="10"/>
    </row>
    <row r="198" ht="14.25" customHeight="1">
      <c r="E198" s="10"/>
    </row>
    <row r="199" ht="14.25" customHeight="1">
      <c r="E199" s="10"/>
    </row>
    <row r="200" ht="14.25" customHeight="1">
      <c r="E200" s="10"/>
    </row>
    <row r="201" ht="14.25" customHeight="1">
      <c r="E201" s="10"/>
    </row>
    <row r="202" ht="14.25" customHeight="1">
      <c r="E202" s="10"/>
    </row>
    <row r="203" ht="14.25" customHeight="1">
      <c r="E203" s="10"/>
    </row>
    <row r="204" ht="14.25" customHeight="1">
      <c r="E204" s="10"/>
    </row>
    <row r="205" ht="14.25" customHeight="1">
      <c r="E205" s="10"/>
    </row>
    <row r="206" ht="14.25" customHeight="1">
      <c r="E206" s="10"/>
    </row>
    <row r="207" ht="14.25" customHeight="1">
      <c r="E207" s="10"/>
    </row>
    <row r="208" ht="14.25" customHeight="1">
      <c r="E208" s="10"/>
    </row>
    <row r="209" ht="14.25" customHeight="1">
      <c r="E209" s="10"/>
    </row>
    <row r="210" ht="14.25" customHeight="1">
      <c r="E210" s="10"/>
    </row>
    <row r="211" ht="14.25" customHeight="1">
      <c r="E211" s="10"/>
    </row>
    <row r="212" ht="14.25" customHeight="1">
      <c r="E212" s="10"/>
    </row>
    <row r="213" ht="14.25" customHeight="1">
      <c r="E213" s="10"/>
    </row>
    <row r="214" ht="14.25" customHeight="1">
      <c r="E214" s="10"/>
    </row>
    <row r="215" ht="14.25" customHeight="1">
      <c r="E215" s="10"/>
    </row>
    <row r="216" ht="14.25" customHeight="1">
      <c r="E216" s="10"/>
    </row>
    <row r="217" ht="14.25" customHeight="1">
      <c r="E217" s="10"/>
    </row>
    <row r="218" ht="14.25" customHeight="1">
      <c r="E218" s="10"/>
    </row>
    <row r="219" ht="14.25" customHeight="1">
      <c r="E219" s="10"/>
    </row>
    <row r="220" ht="14.25" customHeight="1">
      <c r="E220" s="10"/>
    </row>
    <row r="221" ht="14.25" customHeight="1">
      <c r="E221" s="10"/>
    </row>
    <row r="222" ht="14.25" customHeight="1">
      <c r="E222" s="10"/>
    </row>
    <row r="223" ht="14.25" customHeight="1">
      <c r="E223" s="10"/>
    </row>
    <row r="224" ht="14.25" customHeight="1">
      <c r="E224" s="10"/>
    </row>
    <row r="225" ht="14.25" customHeight="1">
      <c r="E225" s="10"/>
    </row>
    <row r="226" ht="14.25" customHeight="1">
      <c r="E226" s="10"/>
    </row>
    <row r="227" ht="14.25" customHeight="1">
      <c r="E227" s="10"/>
    </row>
    <row r="228" ht="14.25" customHeight="1">
      <c r="E228" s="10"/>
    </row>
    <row r="229" ht="14.25" customHeight="1">
      <c r="E229" s="10"/>
    </row>
    <row r="230" ht="14.25" customHeight="1">
      <c r="E230" s="10"/>
    </row>
    <row r="231" ht="14.25" customHeight="1">
      <c r="E231" s="10"/>
    </row>
    <row r="232" ht="14.25" customHeight="1">
      <c r="E232" s="10"/>
    </row>
    <row r="233" ht="14.25" customHeight="1">
      <c r="E233" s="10"/>
    </row>
    <row r="234" ht="14.25" customHeight="1">
      <c r="E234" s="10"/>
    </row>
    <row r="235" ht="14.25" customHeight="1">
      <c r="E235" s="10"/>
    </row>
    <row r="236" ht="14.25" customHeight="1">
      <c r="E236" s="10"/>
    </row>
    <row r="237" ht="14.25" customHeight="1">
      <c r="E237" s="10"/>
    </row>
    <row r="238" ht="14.25" customHeight="1">
      <c r="E238" s="10"/>
    </row>
    <row r="239" ht="14.25" customHeight="1">
      <c r="E239" s="10"/>
    </row>
    <row r="240" ht="14.25" customHeight="1">
      <c r="E240" s="10"/>
    </row>
    <row r="241" ht="14.25" customHeight="1">
      <c r="E241" s="10"/>
    </row>
    <row r="242" ht="14.25" customHeight="1">
      <c r="E242" s="10"/>
    </row>
    <row r="243" ht="14.25" customHeight="1">
      <c r="E243" s="10"/>
    </row>
    <row r="244" ht="14.25" customHeight="1">
      <c r="E244" s="10"/>
    </row>
    <row r="245" ht="14.25" customHeight="1">
      <c r="E245" s="10"/>
    </row>
    <row r="246" ht="14.25" customHeight="1">
      <c r="E246" s="10"/>
    </row>
    <row r="247" ht="14.25" customHeight="1">
      <c r="E247" s="10"/>
    </row>
    <row r="248" ht="14.25" customHeight="1">
      <c r="E248" s="10"/>
    </row>
    <row r="249" ht="14.25" customHeight="1">
      <c r="E249" s="10"/>
    </row>
    <row r="250" ht="14.25" customHeight="1">
      <c r="E250" s="10"/>
    </row>
    <row r="251" ht="14.25" customHeight="1">
      <c r="E251" s="10"/>
    </row>
    <row r="252" ht="14.25" customHeight="1">
      <c r="E252" s="10"/>
    </row>
    <row r="253" ht="14.25" customHeight="1">
      <c r="E253" s="10"/>
    </row>
    <row r="254" ht="14.25" customHeight="1">
      <c r="E254" s="10"/>
    </row>
    <row r="255" ht="14.25" customHeight="1">
      <c r="E255" s="10"/>
    </row>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D6:D36 D41:D49">
      <formula1>Hoja2!$A$2:$A$3</formula1>
    </dataValidation>
  </dataValidation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6" width="11.43"/>
  </cols>
  <sheetData>
    <row r="1" ht="14.25" customHeight="1">
      <c r="A1" s="27" t="s">
        <v>108</v>
      </c>
    </row>
    <row r="2" ht="14.25" customHeight="1">
      <c r="A2" s="28" t="s">
        <v>12</v>
      </c>
    </row>
    <row r="3" ht="14.25" customHeight="1">
      <c r="A3" s="28" t="s">
        <v>109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